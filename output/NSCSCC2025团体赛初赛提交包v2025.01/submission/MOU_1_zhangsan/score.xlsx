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nscssc_submission\nscscc-team-la32r-submission\submission\MOU_1_zhangsan\"/>
    </mc:Choice>
  </mc:AlternateContent>
  <xr:revisionPtr revIDLastSave="0" documentId="13_ncr:1_{F51AD376-4328-4486-8898-32BD92F57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CPU计算" sheetId="1" r:id="rId1"/>
    <sheet name="openla500运行结果" sheetId="2" r:id="rId2"/>
  </sheets>
  <definedNames>
    <definedName name="_xlnm._FilterDatabase" localSheetId="0" hidden="1">myCPU计算!$B$7:$E$8</definedName>
  </definedNames>
  <calcPr calcId="191029"/>
</workbook>
</file>

<file path=xl/calcChain.xml><?xml version="1.0" encoding="utf-8"?>
<calcChain xmlns="http://schemas.openxmlformats.org/spreadsheetml/2006/main">
  <c r="F31" i="1" l="1"/>
  <c r="F32" i="1"/>
  <c r="F33" i="1"/>
  <c r="F34" i="1"/>
  <c r="F35" i="1"/>
  <c r="F36" i="1"/>
  <c r="F37" i="1"/>
  <c r="F38" i="1"/>
  <c r="F39" i="1"/>
  <c r="F40" i="1"/>
  <c r="F30" i="1"/>
  <c r="F29" i="1"/>
  <c r="F28" i="1"/>
  <c r="F27" i="1"/>
  <c r="F26" i="1"/>
  <c r="F25" i="1"/>
  <c r="F24" i="1"/>
  <c r="F23" i="1"/>
  <c r="F22" i="1"/>
  <c r="F21" i="1"/>
  <c r="I14" i="1"/>
  <c r="I17" i="1" l="1"/>
</calcChain>
</file>

<file path=xl/sharedStrings.xml><?xml version="1.0" encoding="utf-8"?>
<sst xmlns="http://schemas.openxmlformats.org/spreadsheetml/2006/main" count="135" uniqueCount="92">
  <si>
    <t>队名</t>
  </si>
  <si>
    <t>学校</t>
  </si>
  <si>
    <t>队员</t>
  </si>
  <si>
    <t>指导老师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</si>
  <si>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</si>
  <si>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</si>
  <si>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</si>
  <si>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</si>
  <si>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family val="3"/>
        <charset val="134"/>
        <scheme val="minor"/>
      </rPr>
      <t>注1：AXI</t>
    </r>
    <r>
      <rPr>
        <sz val="11"/>
        <color rgb="FF000000"/>
        <rFont val="宋体"/>
        <family val="3"/>
        <charset val="134"/>
      </rPr>
      <t>/58*100</t>
    </r>
    <r>
      <rPr>
        <sz val="11"/>
        <color theme="1"/>
        <rFont val="宋体"/>
        <family val="3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</si>
  <si>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</si>
  <si>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family val="3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family val="3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</si>
  <si>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</si>
  <si>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</si>
  <si>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</si>
  <si>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</si>
  <si>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</si>
  <si>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</si>
  <si>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</si>
  <si>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family val="3"/>
        <charset val="134"/>
        <scheme val="minor"/>
      </rPr>
      <t>T</t>
    </r>
    <r>
      <rPr>
        <vertAlign val="subscript"/>
        <sz val="11"/>
        <color rgb="FF000000"/>
        <rFont val="宋体"/>
        <family val="3"/>
        <charset val="134"/>
      </rPr>
      <t>openla500</t>
    </r>
    <r>
      <rPr>
        <sz val="11"/>
        <color theme="1"/>
        <rFont val="宋体"/>
        <family val="3"/>
        <charset val="134"/>
        <scheme val="minor"/>
      </rPr>
      <t>/T</t>
    </r>
    <r>
      <rPr>
        <vertAlign val="subscript"/>
        <sz val="11"/>
        <color rgb="FF000000"/>
        <rFont val="宋体"/>
        <family val="3"/>
        <charset val="134"/>
      </rPr>
      <t>mycpu</t>
    </r>
  </si>
  <si>
    <t>性能分</t>
  </si>
  <si>
    <r>
      <rPr>
        <b/>
        <sz val="11"/>
        <color rgb="FF000000"/>
        <rFont val="宋体"/>
        <family val="3"/>
        <charset val="134"/>
      </rPr>
      <t>上板计时</t>
    </r>
    <r>
      <rPr>
        <b/>
        <sz val="11"/>
        <color indexed="8"/>
        <rFont val="Times New Roman"/>
        <family val="1"/>
      </rPr>
      <t>(16</t>
    </r>
    <r>
      <rPr>
        <b/>
        <sz val="11"/>
        <color indexed="8"/>
        <rFont val="宋体"/>
        <family val="3"/>
        <charset val="134"/>
      </rPr>
      <t>进制</t>
    </r>
    <r>
      <rPr>
        <b/>
        <sz val="11"/>
        <color indexed="8"/>
        <rFont val="Times New Roman"/>
        <family val="1"/>
      </rPr>
      <t>)</t>
    </r>
  </si>
  <si>
    <r>
      <rPr>
        <b/>
        <sz val="11"/>
        <color rgb="FF000000"/>
        <rFont val="宋体"/>
        <family val="3"/>
        <charset val="134"/>
      </rPr>
      <t>上板</t>
    </r>
    <r>
      <rPr>
        <b/>
        <sz val="11"/>
        <color indexed="8"/>
        <rFont val="Times New Roman"/>
        <family val="1"/>
      </rPr>
      <t>(16</t>
    </r>
    <r>
      <rPr>
        <b/>
        <sz val="11"/>
        <color indexed="8"/>
        <rFont val="宋体"/>
        <family val="3"/>
        <charset val="134"/>
      </rPr>
      <t>进制</t>
    </r>
    <r>
      <rPr>
        <b/>
        <sz val="11"/>
        <color indexed="8"/>
        <rFont val="Times New Roman"/>
        <family val="1"/>
      </rPr>
      <t>)</t>
    </r>
  </si>
  <si>
    <t>CPU频率（MHz）</t>
  </si>
  <si>
    <r>
      <rPr>
        <b/>
        <sz val="11"/>
        <color rgb="FF000000"/>
        <rFont val="宋体"/>
        <family val="3"/>
        <charset val="134"/>
      </rPr>
      <t>数码管显示
（SoC Count）
（</t>
    </r>
    <r>
      <rPr>
        <b/>
        <sz val="11"/>
        <color rgb="FFFF0000"/>
        <rFont val="宋体"/>
        <family val="3"/>
        <charset val="134"/>
      </rPr>
      <t>最左开关拨上</t>
    </r>
    <r>
      <rPr>
        <b/>
        <sz val="11"/>
        <color rgb="FF000000"/>
        <rFont val="宋体"/>
        <family val="3"/>
        <charset val="134"/>
      </rPr>
      <t>）</t>
    </r>
  </si>
  <si>
    <t>数码管显示
（SoC Count）</t>
  </si>
  <si>
    <t>cpu_clk : sys_clk</t>
  </si>
  <si>
    <t>-</t>
  </si>
  <si>
    <t>bitcount</t>
  </si>
  <si>
    <t>bubble_sort</t>
  </si>
  <si>
    <t>coremark</t>
  </si>
  <si>
    <t>crc32</t>
  </si>
  <si>
    <t>dhrystone</t>
  </si>
  <si>
    <t>quick_sort</t>
  </si>
  <si>
    <t>select_sort</t>
  </si>
  <si>
    <t>sha</t>
  </si>
  <si>
    <t>stream_copy</t>
  </si>
  <si>
    <t>stringsearch</t>
  </si>
  <si>
    <r>
      <rPr>
        <sz val="11"/>
        <color theme="1"/>
        <rFont val="宋体"/>
        <family val="3"/>
        <charset val="134"/>
        <scheme val="minor"/>
      </rPr>
      <t>注1：根据myCPU运行时间填写黄色区域，</t>
    </r>
    <r>
      <rPr>
        <b/>
        <sz val="11"/>
        <color indexed="10"/>
        <rFont val="宋体"/>
        <family val="3"/>
        <charset val="134"/>
      </rPr>
      <t>不要更改单元格格式，</t>
    </r>
    <r>
      <rPr>
        <sz val="11"/>
        <color indexed="8"/>
        <rFont val="宋体"/>
        <family val="3"/>
        <charset val="134"/>
      </rPr>
      <t>填写格式为16进制数，分别填写：上板cpu_clk与</t>
    </r>
    <r>
      <rPr>
        <sz val="11"/>
        <color indexed="8"/>
        <rFont val="宋体"/>
        <family val="3"/>
        <charset val="134"/>
      </rPr>
      <t>sys</t>
    </r>
    <r>
      <rPr>
        <sz val="11"/>
        <color indexed="8"/>
        <rFont val="宋体"/>
        <family val="3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</si>
  <si>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</si>
  <si>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</si>
  <si>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</si>
  <si>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</si>
  <si>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</si>
  <si>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fireye_D1</t>
  </si>
  <si>
    <t>lookup_table</t>
  </si>
  <si>
    <t>loop_induction</t>
  </si>
  <si>
    <t>my_memcmp</t>
  </si>
  <si>
    <t>minmax_sequence</t>
  </si>
  <si>
    <t>c5b0fa</t>
    <phoneticPr fontId="18" type="noConversion"/>
  </si>
  <si>
    <t>40b03a</t>
    <phoneticPr fontId="18" type="noConversion"/>
  </si>
  <si>
    <t>19573c</t>
    <phoneticPr fontId="18" type="noConversion"/>
  </si>
  <si>
    <t>1f7c36</t>
    <phoneticPr fontId="18" type="noConversion"/>
  </si>
  <si>
    <t>a4b76</t>
    <phoneticPr fontId="18" type="noConversion"/>
  </si>
  <si>
    <t>5bd114</t>
    <phoneticPr fontId="18" type="noConversion"/>
  </si>
  <si>
    <t>b62d79</t>
    <phoneticPr fontId="18" type="noConversion"/>
  </si>
  <si>
    <t>3b9bb7</t>
    <phoneticPr fontId="18" type="noConversion"/>
  </si>
  <si>
    <t>2f542a6</t>
    <phoneticPr fontId="18" type="noConversion"/>
  </si>
  <si>
    <t>f7d202</t>
    <phoneticPr fontId="18" type="noConversion"/>
  </si>
  <si>
    <t>89b17d</t>
    <phoneticPr fontId="18" type="noConversion"/>
  </si>
  <si>
    <t>2d0ba3</t>
    <phoneticPr fontId="18" type="noConversion"/>
  </si>
  <si>
    <t>a92235</t>
    <phoneticPr fontId="18" type="noConversion"/>
  </si>
  <si>
    <t>204d83a</t>
    <phoneticPr fontId="18" type="noConversion"/>
  </si>
  <si>
    <t>9e2641</t>
    <phoneticPr fontId="18" type="noConversion"/>
  </si>
  <si>
    <t>33bf55</t>
    <phoneticPr fontId="18" type="noConversion"/>
  </si>
  <si>
    <t>b7bc3e</t>
    <phoneticPr fontId="18" type="noConversion"/>
  </si>
  <si>
    <t>3c1e23</t>
    <phoneticPr fontId="18" type="noConversion"/>
  </si>
  <si>
    <t>53e8e</t>
    <phoneticPr fontId="18" type="noConversion"/>
  </si>
  <si>
    <t>100b72</t>
    <phoneticPr fontId="18" type="noConversion"/>
  </si>
  <si>
    <t>4a93da</t>
    <phoneticPr fontId="18" type="noConversion"/>
  </si>
  <si>
    <t>18660d</t>
    <phoneticPr fontId="18" type="noConversion"/>
  </si>
  <si>
    <t>c09655</t>
    <phoneticPr fontId="18" type="noConversion"/>
  </si>
  <si>
    <t>3f02df</t>
    <phoneticPr fontId="18" type="noConversion"/>
  </si>
  <si>
    <t>78c7e0</t>
    <phoneticPr fontId="18" type="noConversion"/>
  </si>
  <si>
    <t>276c6f</t>
    <phoneticPr fontId="18" type="noConversion"/>
  </si>
  <si>
    <t>b61a</t>
    <phoneticPr fontId="18" type="noConversion"/>
  </si>
  <si>
    <t>5bddf4</t>
    <phoneticPr fontId="18" type="noConversion"/>
  </si>
  <si>
    <t>1e0d52</t>
    <phoneticPr fontId="18" type="noConversion"/>
  </si>
  <si>
    <t>308f10</t>
    <phoneticPr fontId="18" type="noConversion"/>
  </si>
  <si>
    <t>fe269</t>
    <phoneticPr fontId="18" type="noConversion"/>
  </si>
  <si>
    <t>6655c6</t>
    <phoneticPr fontId="18" type="noConversion"/>
  </si>
  <si>
    <t>1fc41</t>
  </si>
  <si>
    <t>1d2c66</t>
    <phoneticPr fontId="18" type="noConversion"/>
  </si>
  <si>
    <t>75d9c</t>
    <phoneticPr fontId="18" type="noConversion"/>
  </si>
  <si>
    <t>拨下</t>
    <phoneticPr fontId="18" type="noConversion"/>
  </si>
  <si>
    <t>33MHz : 100MHz</t>
    <phoneticPr fontId="18" type="noConversion"/>
  </si>
  <si>
    <t>fireye_A0</t>
  </si>
  <si>
    <t>fireye_B2</t>
  </si>
  <si>
    <t>fireye_C0</t>
  </si>
  <si>
    <t>fireye_I2</t>
    <phoneticPr fontId="18" type="noConversion"/>
  </si>
  <si>
    <t>inner_product</t>
    <phoneticPr fontId="18" type="noConversion"/>
  </si>
  <si>
    <r>
      <t>数码管显示
（SoC Count，</t>
    </r>
    <r>
      <rPr>
        <b/>
        <sz val="11"/>
        <rFont val="宋体"/>
        <family val="3"/>
        <charset val="134"/>
      </rPr>
      <t>最左开关拨</t>
    </r>
    <r>
      <rPr>
        <b/>
        <sz val="11"/>
        <color rgb="FFFF0000"/>
        <rFont val="宋体"/>
        <family val="3"/>
        <charset val="134"/>
      </rPr>
      <t>上</t>
    </r>
    <r>
      <rPr>
        <b/>
        <sz val="11"/>
        <color rgb="FF000000"/>
        <rFont val="宋体"/>
        <family val="3"/>
        <charset val="134"/>
      </rPr>
      <t>）</t>
    </r>
    <phoneticPr fontId="18" type="noConversion"/>
  </si>
  <si>
    <r>
      <t xml:space="preserve">数码管显示
（CPU </t>
    </r>
    <r>
      <rPr>
        <b/>
        <sz val="11"/>
        <rFont val="宋体"/>
        <family val="3"/>
        <charset val="134"/>
      </rPr>
      <t>Count，最左开关拨</t>
    </r>
    <r>
      <rPr>
        <b/>
        <sz val="11"/>
        <color rgb="FFFF0000"/>
        <rFont val="宋体"/>
        <family val="3"/>
        <charset val="134"/>
      </rPr>
      <t>下</t>
    </r>
    <r>
      <rPr>
        <b/>
        <sz val="11"/>
        <color rgb="FF000000"/>
        <rFont val="宋体"/>
        <family val="3"/>
        <charset val="134"/>
      </rPr>
      <t>）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</si>
</sst>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_ "/>
  </numFmts>
  <fonts count="21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4"/>
      <color theme="1"/>
      <name val="宋体"/>
      <family val="3"/>
      <charset val="134"/>
      <scheme val="minor"/>
    </font>
    <font>
      <sz val="14"/>
      <name val="仿宋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vertAlign val="subscript"/>
      <sz val="11"/>
      <color rgb="FF000000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6795556505021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theme="0" tint="-0.14993743705557422"/>
        <bgColor theme="1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theme="1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3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0" fontId="10" fillId="0" borderId="0" xfId="0" applyFo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77" fontId="5" fillId="7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9" borderId="5" xfId="0" applyFill="1" applyBorder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3" borderId="0" xfId="0" applyFont="1" applyFill="1">
      <alignment vertical="center"/>
    </xf>
    <xf numFmtId="0" fontId="9" fillId="3" borderId="0" xfId="0" applyFont="1" applyFill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 wrapText="1"/>
    </xf>
    <xf numFmtId="49" fontId="6" fillId="5" borderId="3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DA4711E3-5796-4A1F-977F-539132D41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"/>
  <sheetViews>
    <sheetView tabSelected="1" zoomScale="70" zoomScaleNormal="70" workbookViewId="0">
      <selection activeCell="T13" sqref="T13"/>
    </sheetView>
  </sheetViews>
  <sheetFormatPr defaultColWidth="9" defaultRowHeight="21.75" customHeight="1" x14ac:dyDescent="0.25"/>
  <cols>
    <col min="1" max="1" width="5.109375" style="4" customWidth="1"/>
    <col min="2" max="2" width="14.21875" style="4" customWidth="1"/>
    <col min="3" max="3" width="18.77734375" style="4" customWidth="1"/>
    <col min="4" max="5" width="17.77734375" style="4" customWidth="1"/>
    <col min="6" max="6" width="14.21875" style="4" customWidth="1"/>
    <col min="7" max="7" width="3.109375" style="4" customWidth="1"/>
    <col min="8" max="8" width="20.5546875" style="4" customWidth="1"/>
    <col min="9" max="9" width="16.6640625" style="4" customWidth="1"/>
    <col min="10" max="16384" width="9" style="4"/>
  </cols>
  <sheetData>
    <row r="2" spans="1:9" customFormat="1" ht="21.75" customHeight="1" x14ac:dyDescent="0.25">
      <c r="A2" s="4"/>
      <c r="B2" s="6" t="s">
        <v>0</v>
      </c>
      <c r="C2" s="27"/>
      <c r="D2" s="28"/>
      <c r="E2" s="6" t="s">
        <v>1</v>
      </c>
      <c r="F2" s="27"/>
      <c r="G2" s="28"/>
    </row>
    <row r="3" spans="1:9" customFormat="1" ht="21.75" customHeight="1" x14ac:dyDescent="0.25">
      <c r="A3" s="4"/>
      <c r="B3" s="6" t="s">
        <v>2</v>
      </c>
      <c r="C3" s="29"/>
      <c r="D3" s="29"/>
      <c r="E3" s="6" t="s">
        <v>3</v>
      </c>
      <c r="F3" s="29"/>
      <c r="G3" s="29"/>
    </row>
    <row r="4" spans="1:9" customFormat="1" ht="21.75" customHeight="1" x14ac:dyDescent="0.25">
      <c r="A4" s="4"/>
      <c r="B4" s="7"/>
      <c r="C4" s="8"/>
      <c r="D4" s="8"/>
      <c r="E4" s="7"/>
      <c r="F4" s="8"/>
      <c r="G4" s="8"/>
    </row>
    <row r="5" spans="1:9" s="3" customFormat="1" ht="21.75" customHeight="1" x14ac:dyDescent="0.25">
      <c r="A5" s="3" t="s">
        <v>4</v>
      </c>
    </row>
    <row r="7" spans="1:9" ht="31.8" customHeight="1" x14ac:dyDescent="0.25">
      <c r="B7" s="9" t="s">
        <v>5</v>
      </c>
      <c r="C7" s="9" t="s">
        <v>6</v>
      </c>
    </row>
    <row r="8" spans="1:9" ht="27" customHeight="1" x14ac:dyDescent="0.25">
      <c r="B8" s="9" t="s">
        <v>7</v>
      </c>
      <c r="C8" s="10">
        <v>0</v>
      </c>
    </row>
    <row r="10" spans="1:9" ht="21.75" customHeight="1" x14ac:dyDescent="0.25">
      <c r="A10" s="4" t="s">
        <v>8</v>
      </c>
    </row>
    <row r="11" spans="1:9" ht="21.75" customHeight="1" x14ac:dyDescent="0.25">
      <c r="A11" s="4" t="s">
        <v>9</v>
      </c>
    </row>
    <row r="12" spans="1:9" ht="21.75" customHeight="1" x14ac:dyDescent="0.25">
      <c r="A12" s="4" t="s">
        <v>10</v>
      </c>
      <c r="B12" s="11"/>
      <c r="C12" s="11"/>
      <c r="D12" s="11"/>
      <c r="E12" s="11"/>
      <c r="F12" s="11"/>
    </row>
    <row r="13" spans="1:9" ht="21.75" customHeight="1" x14ac:dyDescent="0.25">
      <c r="A13" s="4" t="s">
        <v>11</v>
      </c>
      <c r="B13" s="11"/>
      <c r="C13" s="11"/>
      <c r="D13" s="11"/>
      <c r="E13" s="11"/>
      <c r="F13" s="11"/>
    </row>
    <row r="14" spans="1:9" ht="21.75" customHeight="1" x14ac:dyDescent="0.25">
      <c r="H14" s="12" t="s">
        <v>12</v>
      </c>
      <c r="I14" s="13">
        <f>C8/58*100</f>
        <v>0</v>
      </c>
    </row>
    <row r="15" spans="1:9" s="3" customFormat="1" ht="21.75" customHeight="1" x14ac:dyDescent="0.25">
      <c r="A15" s="3" t="s">
        <v>13</v>
      </c>
    </row>
    <row r="16" spans="1:9" ht="21.75" customHeight="1" x14ac:dyDescent="0.25">
      <c r="B16" s="30"/>
      <c r="C16" s="30"/>
      <c r="D16" s="30"/>
      <c r="E16" s="30"/>
      <c r="F16" s="30"/>
    </row>
    <row r="17" spans="1:9" ht="21.75" customHeight="1" x14ac:dyDescent="0.25">
      <c r="B17" s="25" t="s">
        <v>14</v>
      </c>
      <c r="C17" s="25" t="s">
        <v>15</v>
      </c>
      <c r="D17" s="14" t="s">
        <v>16</v>
      </c>
      <c r="E17" s="14" t="s">
        <v>17</v>
      </c>
      <c r="F17" s="26" t="s">
        <v>18</v>
      </c>
      <c r="H17" s="12" t="s">
        <v>19</v>
      </c>
      <c r="I17" s="13">
        <f>GEOMEAN(F21:F40)</f>
        <v>0.1</v>
      </c>
    </row>
    <row r="18" spans="1:9" ht="21.75" customHeight="1" x14ac:dyDescent="0.25">
      <c r="B18" s="25"/>
      <c r="C18" s="25"/>
      <c r="D18" s="9" t="s">
        <v>20</v>
      </c>
      <c r="E18" s="9" t="s">
        <v>21</v>
      </c>
      <c r="F18" s="26"/>
      <c r="H18" s="12" t="s">
        <v>22</v>
      </c>
      <c r="I18" s="15"/>
    </row>
    <row r="19" spans="1:9" ht="71.400000000000006" customHeight="1" x14ac:dyDescent="0.25">
      <c r="B19" s="25"/>
      <c r="C19" s="25"/>
      <c r="D19" s="9" t="s">
        <v>23</v>
      </c>
      <c r="E19" s="9" t="s">
        <v>24</v>
      </c>
      <c r="F19" s="26"/>
    </row>
    <row r="20" spans="1:9" ht="21.75" customHeight="1" x14ac:dyDescent="0.25">
      <c r="B20" s="24" t="s">
        <v>25</v>
      </c>
      <c r="C20" s="24"/>
      <c r="D20" s="17" t="s">
        <v>84</v>
      </c>
      <c r="E20" s="18" t="s">
        <v>84</v>
      </c>
      <c r="F20" s="19" t="s">
        <v>26</v>
      </c>
    </row>
    <row r="21" spans="1:9" ht="21.75" customHeight="1" x14ac:dyDescent="0.25">
      <c r="B21" s="16">
        <v>1</v>
      </c>
      <c r="C21" s="2" t="s">
        <v>27</v>
      </c>
      <c r="D21" s="17"/>
      <c r="E21" s="23" t="s">
        <v>67</v>
      </c>
      <c r="F21" s="20">
        <f>IF(HEX2DEC(D21),HEX2DEC(E21)/HEX2DEC(D21),0.1)</f>
        <v>0.1</v>
      </c>
    </row>
    <row r="22" spans="1:9" ht="21.75" customHeight="1" x14ac:dyDescent="0.25">
      <c r="B22" s="16">
        <v>2</v>
      </c>
      <c r="C22" s="2" t="s">
        <v>28</v>
      </c>
      <c r="D22" s="17"/>
      <c r="E22" s="23" t="s">
        <v>68</v>
      </c>
      <c r="F22" s="20">
        <f t="shared" ref="F22:F29" si="0">IF(HEX2DEC(D22),HEX2DEC(E22)/HEX2DEC(D22),0.1)</f>
        <v>0.1</v>
      </c>
    </row>
    <row r="23" spans="1:9" ht="21.75" customHeight="1" x14ac:dyDescent="0.25">
      <c r="B23" s="16">
        <v>3</v>
      </c>
      <c r="C23" s="2" t="s">
        <v>29</v>
      </c>
      <c r="D23" s="17"/>
      <c r="E23" s="23" t="s">
        <v>70</v>
      </c>
      <c r="F23" s="20">
        <f t="shared" si="0"/>
        <v>0.1</v>
      </c>
    </row>
    <row r="24" spans="1:9" ht="21.75" customHeight="1" x14ac:dyDescent="0.25">
      <c r="B24" s="16">
        <v>4</v>
      </c>
      <c r="C24" s="2" t="s">
        <v>30</v>
      </c>
      <c r="D24" s="17"/>
      <c r="E24" s="23" t="s">
        <v>72</v>
      </c>
      <c r="F24" s="20">
        <f t="shared" si="0"/>
        <v>0.1</v>
      </c>
    </row>
    <row r="25" spans="1:9" ht="21.75" customHeight="1" x14ac:dyDescent="0.25">
      <c r="B25" s="16">
        <v>5</v>
      </c>
      <c r="C25" s="2" t="s">
        <v>31</v>
      </c>
      <c r="D25" s="17"/>
      <c r="E25" s="23">
        <v>23486</v>
      </c>
      <c r="F25" s="20">
        <f t="shared" si="0"/>
        <v>0.1</v>
      </c>
    </row>
    <row r="26" spans="1:9" ht="21.75" customHeight="1" x14ac:dyDescent="0.25">
      <c r="B26" s="16">
        <v>6</v>
      </c>
      <c r="C26" s="2" t="s">
        <v>32</v>
      </c>
      <c r="D26" s="17"/>
      <c r="E26" s="23" t="s">
        <v>75</v>
      </c>
      <c r="F26" s="20">
        <f t="shared" si="0"/>
        <v>0.1</v>
      </c>
    </row>
    <row r="27" spans="1:9" ht="21.75" customHeight="1" x14ac:dyDescent="0.25">
      <c r="B27" s="16">
        <v>7</v>
      </c>
      <c r="C27" s="2" t="s">
        <v>33</v>
      </c>
      <c r="D27" s="17"/>
      <c r="E27" s="23" t="s">
        <v>77</v>
      </c>
      <c r="F27" s="20">
        <f t="shared" si="0"/>
        <v>0.1</v>
      </c>
    </row>
    <row r="28" spans="1:9" ht="21.75" customHeight="1" x14ac:dyDescent="0.25">
      <c r="B28" s="16">
        <v>8</v>
      </c>
      <c r="C28" s="2" t="s">
        <v>34</v>
      </c>
      <c r="D28" s="17"/>
      <c r="E28" s="23" t="s">
        <v>79</v>
      </c>
      <c r="F28" s="20">
        <f t="shared" si="0"/>
        <v>0.1</v>
      </c>
    </row>
    <row r="29" spans="1:9" ht="21.75" customHeight="1" x14ac:dyDescent="0.25">
      <c r="B29" s="16">
        <v>9</v>
      </c>
      <c r="C29" s="2" t="s">
        <v>35</v>
      </c>
      <c r="D29" s="17"/>
      <c r="E29" s="23">
        <v>61991</v>
      </c>
      <c r="F29" s="20">
        <f t="shared" si="0"/>
        <v>0.1</v>
      </c>
    </row>
    <row r="30" spans="1:9" ht="21.75" customHeight="1" x14ac:dyDescent="0.25">
      <c r="B30" s="16">
        <v>10</v>
      </c>
      <c r="C30" s="2" t="s">
        <v>36</v>
      </c>
      <c r="D30" s="17"/>
      <c r="E30" s="23" t="s">
        <v>81</v>
      </c>
      <c r="F30" s="20">
        <f>IF(HEX2DEC(D30),HEX2DEC(E30)/HEX2DEC(D30),0.1)</f>
        <v>0.1</v>
      </c>
    </row>
    <row r="31" spans="1:9" ht="21.75" customHeight="1" x14ac:dyDescent="0.25">
      <c r="B31" s="16">
        <v>11</v>
      </c>
      <c r="C31" s="2" t="s">
        <v>85</v>
      </c>
      <c r="D31" s="17"/>
      <c r="E31" s="23" t="s">
        <v>48</v>
      </c>
      <c r="F31" s="20">
        <f t="shared" ref="F31:F40" si="1">IF(HEX2DEC(D31),HEX2DEC(E31)/HEX2DEC(D31),0.1)</f>
        <v>0.1</v>
      </c>
    </row>
    <row r="32" spans="1:9" ht="21.75" customHeight="1" x14ac:dyDescent="0.25">
      <c r="A32" s="21"/>
      <c r="B32" s="16">
        <v>12</v>
      </c>
      <c r="C32" s="2" t="s">
        <v>86</v>
      </c>
      <c r="D32" s="17"/>
      <c r="E32" s="23" t="s">
        <v>50</v>
      </c>
      <c r="F32" s="20">
        <f t="shared" si="1"/>
        <v>0.1</v>
      </c>
    </row>
    <row r="33" spans="1:6" ht="21.75" customHeight="1" x14ac:dyDescent="0.25">
      <c r="B33" s="16">
        <v>13</v>
      </c>
      <c r="C33" s="2" t="s">
        <v>87</v>
      </c>
      <c r="D33" s="17"/>
      <c r="E33" s="23" t="s">
        <v>51</v>
      </c>
      <c r="F33" s="20">
        <f t="shared" si="1"/>
        <v>0.1</v>
      </c>
    </row>
    <row r="34" spans="1:6" ht="21.75" customHeight="1" x14ac:dyDescent="0.25">
      <c r="B34" s="16">
        <v>14</v>
      </c>
      <c r="C34" s="2" t="s">
        <v>43</v>
      </c>
      <c r="D34" s="17"/>
      <c r="E34" s="23">
        <v>1189646</v>
      </c>
      <c r="F34" s="20">
        <f t="shared" si="1"/>
        <v>0.1</v>
      </c>
    </row>
    <row r="35" spans="1:6" ht="21.75" customHeight="1" x14ac:dyDescent="0.25">
      <c r="B35" s="16">
        <v>15</v>
      </c>
      <c r="C35" s="2" t="s">
        <v>88</v>
      </c>
      <c r="D35" s="17"/>
      <c r="E35" s="23" t="s">
        <v>54</v>
      </c>
      <c r="F35" s="20">
        <f t="shared" si="1"/>
        <v>0.1</v>
      </c>
    </row>
    <row r="36" spans="1:6" ht="21.75" customHeight="1" x14ac:dyDescent="0.25">
      <c r="A36" s="21"/>
      <c r="B36" s="16">
        <v>16</v>
      </c>
      <c r="C36" s="2" t="s">
        <v>89</v>
      </c>
      <c r="D36" s="17"/>
      <c r="E36" s="23" t="s">
        <v>56</v>
      </c>
      <c r="F36" s="20">
        <f t="shared" si="1"/>
        <v>0.1</v>
      </c>
    </row>
    <row r="37" spans="1:6" ht="21.75" customHeight="1" x14ac:dyDescent="0.25">
      <c r="B37" s="16">
        <v>17</v>
      </c>
      <c r="C37" s="2" t="s">
        <v>44</v>
      </c>
      <c r="D37" s="17"/>
      <c r="E37" s="23" t="s">
        <v>58</v>
      </c>
      <c r="F37" s="20">
        <f t="shared" si="1"/>
        <v>0.1</v>
      </c>
    </row>
    <row r="38" spans="1:6" ht="21.75" customHeight="1" x14ac:dyDescent="0.25">
      <c r="B38" s="16">
        <v>18</v>
      </c>
      <c r="C38" s="2" t="s">
        <v>45</v>
      </c>
      <c r="D38" s="17"/>
      <c r="E38" s="23" t="s">
        <v>61</v>
      </c>
      <c r="F38" s="20">
        <f t="shared" si="1"/>
        <v>0.1</v>
      </c>
    </row>
    <row r="39" spans="1:6" ht="21.75" customHeight="1" x14ac:dyDescent="0.25">
      <c r="B39" s="16">
        <v>19</v>
      </c>
      <c r="C39" s="2" t="s">
        <v>46</v>
      </c>
      <c r="D39" s="17"/>
      <c r="E39" s="23" t="s">
        <v>62</v>
      </c>
      <c r="F39" s="20">
        <f t="shared" si="1"/>
        <v>0.1</v>
      </c>
    </row>
    <row r="40" spans="1:6" ht="21.75" customHeight="1" x14ac:dyDescent="0.25">
      <c r="B40" s="16">
        <v>20</v>
      </c>
      <c r="C40" s="2" t="s">
        <v>47</v>
      </c>
      <c r="D40" s="17"/>
      <c r="E40" s="23" t="s">
        <v>64</v>
      </c>
      <c r="F40" s="20">
        <f t="shared" si="1"/>
        <v>0.1</v>
      </c>
    </row>
    <row r="42" spans="1:6" ht="21.75" customHeight="1" x14ac:dyDescent="0.25">
      <c r="A42" s="4" t="s">
        <v>37</v>
      </c>
      <c r="B42" s="11"/>
      <c r="C42" s="11"/>
      <c r="D42" s="11"/>
      <c r="E42" s="11"/>
      <c r="F42" s="11"/>
    </row>
    <row r="43" spans="1:6" ht="21.75" customHeight="1" x14ac:dyDescent="0.25">
      <c r="A43" s="22" t="s">
        <v>38</v>
      </c>
      <c r="B43" s="11"/>
      <c r="C43" s="11"/>
      <c r="D43" s="11"/>
      <c r="E43" s="11"/>
      <c r="F43" s="11"/>
    </row>
    <row r="44" spans="1:6" ht="21.75" customHeight="1" x14ac:dyDescent="0.25">
      <c r="A44" s="22" t="s">
        <v>39</v>
      </c>
      <c r="B44" s="11"/>
      <c r="C44" s="11"/>
      <c r="D44" s="11"/>
      <c r="E44" s="11"/>
      <c r="F44" s="11"/>
    </row>
    <row r="45" spans="1:6" ht="21.75" customHeight="1" x14ac:dyDescent="0.25">
      <c r="A45" s="4" t="s">
        <v>40</v>
      </c>
      <c r="B45" s="11"/>
      <c r="C45" s="11"/>
      <c r="D45" s="11"/>
      <c r="E45" s="11"/>
      <c r="F45" s="11"/>
    </row>
    <row r="46" spans="1:6" ht="21.75" customHeight="1" x14ac:dyDescent="0.25">
      <c r="A46" s="4" t="s">
        <v>41</v>
      </c>
      <c r="B46" s="11"/>
      <c r="C46" s="11"/>
      <c r="D46" s="11"/>
      <c r="E46" s="11"/>
      <c r="F46" s="11"/>
    </row>
    <row r="47" spans="1:6" ht="21.75" customHeight="1" x14ac:dyDescent="0.25">
      <c r="A47" s="4" t="s">
        <v>42</v>
      </c>
      <c r="B47" s="11"/>
      <c r="C47" s="11"/>
      <c r="D47" s="11"/>
      <c r="E47" s="11"/>
      <c r="F47" s="11"/>
    </row>
  </sheetData>
  <sheetProtection algorithmName="SHA-512" hashValue="evtD4olZZZm7mzZPHdXJYCx6CKlF9hkNB6wgheczw8VIgEiVq354ZRhTpS6FHYbbx5BBQYRfETdZAuifQwHlrA==" saltValue="HLEz9v59NGXcSJMHUXLvdQ==" spinCount="100000" sheet="1" objects="1"/>
  <protectedRanges>
    <protectedRange sqref="C2:C3 F2:F3 C8 I18 D20:D40" name="区域1"/>
  </protectedRanges>
  <mergeCells count="9">
    <mergeCell ref="B20:C20"/>
    <mergeCell ref="B17:B19"/>
    <mergeCell ref="C17:C19"/>
    <mergeCell ref="F17:F19"/>
    <mergeCell ref="C2:D2"/>
    <mergeCell ref="F2:G2"/>
    <mergeCell ref="C3:D3"/>
    <mergeCell ref="F3:G3"/>
    <mergeCell ref="B16:F16"/>
  </mergeCells>
  <phoneticPr fontId="18" type="noConversion"/>
  <dataValidations count="4">
    <dataValidation type="whole" allowBlank="1" showInputMessage="1" showErrorMessage="1" errorTitle="输入无效" error="0~58；_x000a_此项为58，则SRAM接口项一定要是0；_x000a_此项为1~57，则SRAM接口项一定要是58；_x000a_此项为0，则SRAM接口项可填任意。" promptTitle="AXI接口通过数" prompt="0~58；" sqref="C8" xr:uid="{00000000-0002-0000-0000-000000000000}">
      <formula1>0</formula1>
      <formula2>58</formula2>
    </dataValidation>
    <dataValidation type="whole" allowBlank="1" showInputMessage="1" showErrorMessage="1" promptTitle="AXI接口通过数" prompt="0~89" sqref="C9" xr:uid="{00000000-0002-0000-0000-000001000000}">
      <formula1>0</formula1>
      <formula2>89</formula2>
    </dataValidation>
    <dataValidation allowBlank="1" showInputMessage="1" showErrorMessage="1" promptTitle="上板频率" prompt="格式为:XX MHz : 100MHz_x000a_XX MHz为myCPU上板频率，timer_clk必须为100MHz" sqref="D20" xr:uid="{00000000-0002-0000-0000-000002000000}"/>
    <dataValidation allowBlank="1" showInputMessage="1" showErrorMessage="1" promptTitle="输入计时结果" prompt="要求为16进制数。_x000a_如结果为0x144FF46，则填写144FF46。_x000a_如果某一性能测试未通过，则填写0" sqref="D21:D40" xr:uid="{00000000-0002-0000-0000-000003000000}"/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opLeftCell="A2" zoomScale="70" zoomScaleNormal="70" workbookViewId="0">
      <selection activeCell="D23" sqref="A1:D23"/>
    </sheetView>
  </sheetViews>
  <sheetFormatPr defaultColWidth="15.77734375" defaultRowHeight="21" customHeight="1" x14ac:dyDescent="0.25"/>
  <cols>
    <col min="1" max="1" width="9.109375" customWidth="1"/>
    <col min="2" max="2" width="14.5546875" customWidth="1"/>
    <col min="3" max="3" width="15.109375" style="1" customWidth="1"/>
  </cols>
  <sheetData>
    <row r="1" spans="1:5" ht="21" customHeight="1" x14ac:dyDescent="0.25">
      <c r="A1" s="32" t="s">
        <v>14</v>
      </c>
      <c r="B1" s="32" t="s">
        <v>15</v>
      </c>
      <c r="C1" s="33" t="s">
        <v>21</v>
      </c>
      <c r="D1" s="34"/>
      <c r="E1" s="5" t="s">
        <v>83</v>
      </c>
    </row>
    <row r="2" spans="1:5" ht="88.2" customHeight="1" x14ac:dyDescent="0.25">
      <c r="A2" s="32"/>
      <c r="B2" s="32"/>
      <c r="C2" s="9" t="s">
        <v>90</v>
      </c>
      <c r="D2" s="9" t="s">
        <v>91</v>
      </c>
    </row>
    <row r="3" spans="1:5" ht="21" customHeight="1" x14ac:dyDescent="0.25">
      <c r="A3" s="31" t="s">
        <v>25</v>
      </c>
      <c r="B3" s="31"/>
      <c r="C3" s="35" t="s">
        <v>84</v>
      </c>
      <c r="D3" s="36"/>
    </row>
    <row r="4" spans="1:5" ht="21" customHeight="1" x14ac:dyDescent="0.25">
      <c r="A4" s="16">
        <v>1</v>
      </c>
      <c r="B4" s="2" t="s">
        <v>27</v>
      </c>
      <c r="C4" s="23" t="s">
        <v>67</v>
      </c>
      <c r="D4" s="23" t="s">
        <v>66</v>
      </c>
    </row>
    <row r="5" spans="1:5" ht="21" customHeight="1" x14ac:dyDescent="0.25">
      <c r="A5" s="16">
        <v>2</v>
      </c>
      <c r="B5" s="2" t="s">
        <v>28</v>
      </c>
      <c r="C5" s="23" t="s">
        <v>68</v>
      </c>
      <c r="D5" s="23" t="s">
        <v>69</v>
      </c>
    </row>
    <row r="6" spans="1:5" ht="21" customHeight="1" x14ac:dyDescent="0.25">
      <c r="A6" s="16">
        <v>3</v>
      </c>
      <c r="B6" s="2" t="s">
        <v>29</v>
      </c>
      <c r="C6" s="23" t="s">
        <v>70</v>
      </c>
      <c r="D6" s="23" t="s">
        <v>71</v>
      </c>
    </row>
    <row r="7" spans="1:5" ht="21" customHeight="1" x14ac:dyDescent="0.25">
      <c r="A7" s="16">
        <v>4</v>
      </c>
      <c r="B7" s="2" t="s">
        <v>30</v>
      </c>
      <c r="C7" s="23" t="s">
        <v>72</v>
      </c>
      <c r="D7" s="23" t="s">
        <v>73</v>
      </c>
    </row>
    <row r="8" spans="1:5" ht="21" customHeight="1" x14ac:dyDescent="0.25">
      <c r="A8" s="16">
        <v>5</v>
      </c>
      <c r="B8" s="2" t="s">
        <v>31</v>
      </c>
      <c r="C8" s="23">
        <v>23486</v>
      </c>
      <c r="D8" s="23" t="s">
        <v>74</v>
      </c>
    </row>
    <row r="9" spans="1:5" ht="21" customHeight="1" x14ac:dyDescent="0.25">
      <c r="A9" s="16">
        <v>6</v>
      </c>
      <c r="B9" s="2" t="s">
        <v>32</v>
      </c>
      <c r="C9" s="23" t="s">
        <v>75</v>
      </c>
      <c r="D9" s="23" t="s">
        <v>76</v>
      </c>
    </row>
    <row r="10" spans="1:5" ht="21" customHeight="1" x14ac:dyDescent="0.25">
      <c r="A10" s="16">
        <v>7</v>
      </c>
      <c r="B10" s="2" t="s">
        <v>33</v>
      </c>
      <c r="C10" s="23" t="s">
        <v>77</v>
      </c>
      <c r="D10" s="23" t="s">
        <v>78</v>
      </c>
    </row>
    <row r="11" spans="1:5" ht="21" customHeight="1" x14ac:dyDescent="0.25">
      <c r="A11" s="16">
        <v>8</v>
      </c>
      <c r="B11" s="2" t="s">
        <v>34</v>
      </c>
      <c r="C11" s="23" t="s">
        <v>79</v>
      </c>
      <c r="D11" s="23">
        <v>216006</v>
      </c>
    </row>
    <row r="12" spans="1:5" ht="21" customHeight="1" x14ac:dyDescent="0.25">
      <c r="A12" s="16">
        <v>9</v>
      </c>
      <c r="B12" s="2" t="s">
        <v>35</v>
      </c>
      <c r="C12" s="23">
        <v>61991</v>
      </c>
      <c r="D12" s="23" t="s">
        <v>80</v>
      </c>
    </row>
    <row r="13" spans="1:5" ht="21" customHeight="1" x14ac:dyDescent="0.25">
      <c r="A13" s="16">
        <v>10</v>
      </c>
      <c r="B13" s="2" t="s">
        <v>36</v>
      </c>
      <c r="C13" s="23" t="s">
        <v>81</v>
      </c>
      <c r="D13" s="23" t="s">
        <v>82</v>
      </c>
    </row>
    <row r="14" spans="1:5" ht="21" customHeight="1" x14ac:dyDescent="0.25">
      <c r="A14" s="16">
        <v>11</v>
      </c>
      <c r="B14" s="2" t="s">
        <v>85</v>
      </c>
      <c r="C14" s="23" t="s">
        <v>48</v>
      </c>
      <c r="D14" s="23" t="s">
        <v>49</v>
      </c>
    </row>
    <row r="15" spans="1:5" ht="21" customHeight="1" x14ac:dyDescent="0.25">
      <c r="A15" s="16">
        <v>12</v>
      </c>
      <c r="B15" s="2" t="s">
        <v>86</v>
      </c>
      <c r="C15" s="23" t="s">
        <v>50</v>
      </c>
      <c r="D15" s="23">
        <v>84922</v>
      </c>
    </row>
    <row r="16" spans="1:5" ht="21" customHeight="1" x14ac:dyDescent="0.25">
      <c r="A16" s="16">
        <v>13</v>
      </c>
      <c r="B16" s="2" t="s">
        <v>87</v>
      </c>
      <c r="C16" s="23" t="s">
        <v>51</v>
      </c>
      <c r="D16" s="23" t="s">
        <v>52</v>
      </c>
    </row>
    <row r="17" spans="1:4" ht="21" customHeight="1" x14ac:dyDescent="0.25">
      <c r="A17" s="16">
        <v>14</v>
      </c>
      <c r="B17" s="2" t="s">
        <v>43</v>
      </c>
      <c r="C17" s="23">
        <v>1189646</v>
      </c>
      <c r="D17" s="23" t="s">
        <v>53</v>
      </c>
    </row>
    <row r="18" spans="1:4" ht="21" customHeight="1" x14ac:dyDescent="0.25">
      <c r="A18" s="16">
        <v>15</v>
      </c>
      <c r="B18" s="2" t="s">
        <v>88</v>
      </c>
      <c r="C18" s="23" t="s">
        <v>54</v>
      </c>
      <c r="D18" s="23" t="s">
        <v>55</v>
      </c>
    </row>
    <row r="19" spans="1:4" ht="21" customHeight="1" x14ac:dyDescent="0.25">
      <c r="A19" s="16">
        <v>16</v>
      </c>
      <c r="B19" s="2" t="s">
        <v>89</v>
      </c>
      <c r="C19" s="23" t="s">
        <v>56</v>
      </c>
      <c r="D19" s="23" t="s">
        <v>57</v>
      </c>
    </row>
    <row r="20" spans="1:4" ht="21" customHeight="1" x14ac:dyDescent="0.25">
      <c r="A20" s="16">
        <v>17</v>
      </c>
      <c r="B20" s="2" t="s">
        <v>44</v>
      </c>
      <c r="C20" s="23" t="s">
        <v>58</v>
      </c>
      <c r="D20" s="23" t="s">
        <v>59</v>
      </c>
    </row>
    <row r="21" spans="1:4" ht="21" customHeight="1" x14ac:dyDescent="0.25">
      <c r="A21" s="16">
        <v>18</v>
      </c>
      <c r="B21" s="2" t="s">
        <v>45</v>
      </c>
      <c r="C21" s="23" t="s">
        <v>61</v>
      </c>
      <c r="D21" s="23" t="s">
        <v>60</v>
      </c>
    </row>
    <row r="22" spans="1:4" ht="21" customHeight="1" x14ac:dyDescent="0.25">
      <c r="A22" s="16">
        <v>19</v>
      </c>
      <c r="B22" s="2" t="s">
        <v>46</v>
      </c>
      <c r="C22" s="23" t="s">
        <v>62</v>
      </c>
      <c r="D22" s="23" t="s">
        <v>63</v>
      </c>
    </row>
    <row r="23" spans="1:4" ht="21" customHeight="1" x14ac:dyDescent="0.25">
      <c r="A23" s="16">
        <v>20</v>
      </c>
      <c r="B23" s="2" t="s">
        <v>47</v>
      </c>
      <c r="C23" s="23" t="s">
        <v>64</v>
      </c>
      <c r="D23" s="23" t="s">
        <v>65</v>
      </c>
    </row>
  </sheetData>
  <mergeCells count="5">
    <mergeCell ref="A3:B3"/>
    <mergeCell ref="A1:A2"/>
    <mergeCell ref="B1:B2"/>
    <mergeCell ref="C1:D1"/>
    <mergeCell ref="C3:D3"/>
  </mergeCells>
  <phoneticPr fontId="1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允许修改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续杰 朱</cp:lastModifiedBy>
  <dcterms:created xsi:type="dcterms:W3CDTF">2018-07-17T10:07:00Z</dcterms:created>
  <dcterms:modified xsi:type="dcterms:W3CDTF">2025-07-31T12:40:20Z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AACE6FB46A1D4F429A9676A8EA786056_13</vt:lpwstr>
  </property>
  <property fmtid="{D5CDD505-2E9C-101B-9397-08002B2CF9AE}" pid="3" name="KSOProductBuildVer">
    <vt:lpwstr>2052-12.1.0.17147</vt:lpwstr>
  </property>
</Properties>
</file>